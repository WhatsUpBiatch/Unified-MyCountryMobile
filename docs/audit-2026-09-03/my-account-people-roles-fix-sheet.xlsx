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 sheetId="1" state="visible" r:id="rId1"/>
    <sheet xmlns:r="http://schemas.openxmlformats.org/officeDocument/2006/relationships" name="Legend &amp; counts" sheetId="2" state="visible" r:id="rId2"/>
  </sheets>
  <definedNames>
    <definedName name="_xlnm._FilterDatabase" localSheetId="0" hidden="1">'Audit sheet'!$A$1:$K$38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000000"/>
      <sz val="10"/>
    </font>
    <font>
      <name val="Arial"/>
      <b val="1"/>
      <color rgb="00FFFFFF"/>
    </font>
    <font>
      <name val="Arial"/>
      <b val="1"/>
      <color rgb="00000000"/>
    </font>
    <font>
      <name val="Arial"/>
      <color theme="1"/>
      <sz val="10"/>
    </font>
    <font>
      <name val="Arial"/>
      <b val="1"/>
      <sz val="10"/>
    </font>
  </fonts>
  <fills count="11">
    <fill>
      <patternFill/>
    </fill>
    <fill>
      <patternFill patternType="gray125"/>
    </fill>
    <fill>
      <patternFill patternType="solid">
        <fgColor rgb="001F3A5F"/>
      </patternFill>
    </fill>
    <fill>
      <patternFill patternType="solid">
        <fgColor rgb="00FFF2CC"/>
      </patternFill>
    </fill>
    <fill>
      <patternFill patternType="solid">
        <fgColor rgb="00C00000"/>
      </patternFill>
    </fill>
    <fill>
      <patternFill patternType="solid">
        <fgColor rgb="00ED7D31"/>
      </patternFill>
    </fill>
    <fill>
      <patternFill patternType="solid">
        <fgColor rgb="00FFC000"/>
      </patternFill>
    </fill>
    <fill>
      <patternFill patternType="solid">
        <fgColor rgb="00E2F0D9"/>
      </patternFill>
    </fill>
    <fill>
      <patternFill patternType="solid">
        <fgColor rgb="00A6A6A6"/>
      </patternFill>
    </fill>
    <fill>
      <patternFill patternType="solid">
        <fgColor rgb="00F8CBAD"/>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vertical="top" wrapText="1"/>
    </xf>
    <xf numFmtId="0" fontId="1" fillId="4" borderId="1" applyAlignment="1" pivotButton="0" quotePrefix="0" xfId="0">
      <alignment horizontal="center" vertical="top"/>
    </xf>
    <xf numFmtId="0" fontId="1" fillId="5" borderId="1" applyAlignment="1" pivotButton="0" quotePrefix="0" xfId="0">
      <alignment horizontal="center" vertical="top"/>
    </xf>
    <xf numFmtId="0" fontId="3" fillId="6" borderId="1" applyAlignment="1" pivotButton="0" quotePrefix="0" xfId="0">
      <alignment horizontal="center" vertical="top"/>
    </xf>
    <xf numFmtId="0" fontId="2" fillId="7" borderId="1" applyAlignment="1" pivotButton="0" quotePrefix="0" xfId="0">
      <alignment vertical="top" wrapText="1"/>
    </xf>
    <xf numFmtId="0" fontId="3" fillId="8" borderId="1" applyAlignment="1" pivotButton="0" quotePrefix="0" xfId="0">
      <alignment horizontal="center" vertical="top"/>
    </xf>
    <xf numFmtId="0" fontId="2" fillId="9" borderId="1" applyAlignment="1" pivotButton="0" quotePrefix="0" xfId="0">
      <alignment vertical="top" wrapText="1"/>
    </xf>
    <xf numFmtId="0" fontId="2" fillId="10" borderId="1" applyAlignment="1" pivotButton="0" quotePrefix="0" xfId="0">
      <alignment vertical="top" wrapText="1"/>
    </xf>
    <xf numFmtId="0" fontId="7" fillId="0" borderId="0" applyAlignment="1" pivotButton="0" quotePrefix="0" xfId="0">
      <alignment vertical="top" wrapText="1"/>
    </xf>
    <xf numFmtId="0" fontId="6" fillId="7" borderId="0" applyAlignment="1" pivotButton="0" quotePrefix="0" xfId="0">
      <alignment vertical="top" wrapText="1"/>
    </xf>
    <xf numFmtId="0" fontId="6" fillId="0" borderId="0" applyAlignment="1" pivotButton="0" quotePrefix="0" xfId="0">
      <alignment vertical="top" wrapText="1"/>
    </xf>
    <xf numFmtId="0" fontId="6" fillId="3" borderId="0" applyAlignment="1" pivotButton="0" quotePrefix="0" xfId="0">
      <alignment vertical="top" wrapText="1"/>
    </xf>
    <xf numFmtId="0" fontId="6" fillId="9" borderId="0" applyAlignment="1" pivotButton="0" quotePrefix="0" xfId="0">
      <alignment vertical="top" wrapText="1"/>
    </xf>
    <xf numFmtId="0" fontId="6" fillId="1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3" fillId="6" borderId="0" applyAlignment="1" pivotButton="0" quotePrefix="0" xfId="0">
      <alignment vertical="top" wrapText="1"/>
    </xf>
    <xf numFmtId="0" fontId="3"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18" customWidth="1" min="3" max="3"/>
    <col width="48" customWidth="1" min="4" max="4"/>
    <col width="40" customWidth="1" min="5" max="5"/>
    <col width="44" customWidth="1" min="6" max="6"/>
    <col width="44" customWidth="1" min="7" max="7"/>
    <col width="22" customWidth="1" min="8" max="8"/>
    <col width="20" customWidth="1" min="9" max="9"/>
    <col width="22" customWidth="1" min="10" max="10"/>
    <col width="9" customWidth="1" min="11" max="11"/>
  </cols>
  <sheetData>
    <row r="1" ht="30" customHeight="1">
      <c r="A1" s="1" t="inlineStr">
        <is>
          <t>#</t>
        </is>
      </c>
      <c r="B1" s="1" t="inlineStr">
        <is>
          <t>Area</t>
        </is>
      </c>
      <c r="C1" s="1" t="inlineStr">
        <is>
          <t>Screen</t>
        </is>
      </c>
      <c r="D1" s="1" t="inlineStr">
        <is>
          <t>What it is today</t>
        </is>
      </c>
      <c r="E1" s="1" t="inlineStr">
        <is>
          <t>What it should be</t>
        </is>
      </c>
      <c r="F1" s="1" t="inlineStr">
        <is>
          <t>What Dialpad does</t>
        </is>
      </c>
      <c r="G1" s="1" t="inlineStr">
        <is>
          <t>How to fix</t>
        </is>
      </c>
      <c r="H1" s="1" t="inlineStr">
        <is>
          <t>Where the fix goes</t>
        </is>
      </c>
      <c r="I1" s="1" t="inlineStr">
        <is>
          <t>Who can do it</t>
        </is>
      </c>
      <c r="J1" s="1" t="inlineStr">
        <is>
          <t>Can I do it now?</t>
        </is>
      </c>
      <c r="K1" s="1" t="inlineStr">
        <is>
          <t>Priority</t>
        </is>
      </c>
    </row>
    <row r="2">
      <c r="A2" s="2" t="n">
        <v>1</v>
      </c>
      <c r="B2" s="3" t="inlineStr">
        <is>
          <t>Security</t>
        </is>
      </c>
      <c r="C2" s="3" t="inlineStr">
        <is>
          <t>People / Roles / API</t>
        </is>
      </c>
      <c r="D2" s="3" t="inlineStr">
        <is>
          <t>Any signed-in person can make themselves or a colleague the account owner. The guard added on 29 Aug was only in the compiled file; the 31 Aug rebuild removed it. Running build has none of it.</t>
        </is>
      </c>
      <c r="E2" s="3" t="inlineStr">
        <is>
          <t>Only admins change roles. Nobody changes their own. Only the owner grants owner. Checked on the server, on every role-changing route.</t>
        </is>
      </c>
      <c r="F2" s="3" t="inlineStr">
        <is>
          <t>Only a Company Admin can make a Company Admin, and the target must have accepted the invite and logged in once. Admins never edit a user's personal profile except through a logged proxy login.</t>
        </is>
      </c>
      <c r="G2" s="3" t="inlineStr">
        <is>
          <t>Port the 29 Aug rules into the TypeScript source (update, bulk-assign, add-member, delete, custom-role upsert/remove, template upsert). Compare on role_uuid, never the role name. Build, deploy, verify with a control test on a test tenant.</t>
        </is>
      </c>
      <c r="H2" s="3" t="inlineStr">
        <is>
          <t>API source (default-api)</t>
        </is>
      </c>
      <c r="I2" s="4" t="inlineStr">
        <is>
          <t>Me, after your go-ahead</t>
        </is>
      </c>
      <c r="J2" s="3" t="inlineStr">
        <is>
          <t>Yes, after go-ahead</t>
        </is>
      </c>
      <c r="K2" s="5" t="inlineStr">
        <is>
          <t>P0</t>
        </is>
      </c>
    </row>
    <row r="3">
      <c r="A3" s="2" t="n">
        <v>2</v>
      </c>
      <c r="B3" s="3" t="inlineStr">
        <is>
          <t>Security</t>
        </is>
      </c>
      <c r="C3" s="3" t="inlineStr">
        <is>
          <t>Roles</t>
        </is>
      </c>
      <c r="D3" s="3" t="inlineStr">
        <is>
          <t>users.role is free text. Custom roles copy their NAME into it. Live rows hold 'Custom Sub-Admin', 'New role' and 8 raw uuids. A role named ADMIN grants owner rights; any other name makes the holder nobody.</t>
        </is>
      </c>
      <c r="E3" s="3" t="inlineStr">
        <is>
          <t>The stored role is always one of four system roles (by uuid). The custom role name lives only in custom_roles. Server checks read role_uuid.</t>
        </is>
      </c>
      <c r="F3" s="3" t="inlineStr">
        <is>
          <t>Roles are fixed; custom roles are not supported. Scope (company / regional / office) is chosen when the role is granted, not baked into the role name.</t>
        </is>
      </c>
      <c r="G3" s="3" t="inlineStr">
        <is>
          <t>Stop writing the custom role name into users.role; write the parent system role instead. One-off data fix for the 18 live rows. Then change server checks to role_uuid.</t>
        </is>
      </c>
      <c r="H3" s="3" t="inlineStr">
        <is>
          <t>API source + one data migration</t>
        </is>
      </c>
      <c r="I3" s="4" t="inlineStr">
        <is>
          <t>Me, after your go-ahead</t>
        </is>
      </c>
      <c r="J3" s="3" t="inlineStr">
        <is>
          <t>Yes, after go-ahead</t>
        </is>
      </c>
      <c r="K3" s="5" t="inlineStr">
        <is>
          <t>P0</t>
        </is>
      </c>
    </row>
    <row r="4">
      <c r="A4" s="2" t="n">
        <v>3</v>
      </c>
      <c r="B4" s="3" t="inlineStr">
        <is>
          <t>Security</t>
        </is>
      </c>
      <c r="C4" s="3" t="inlineStr">
        <is>
          <t>People &gt; Invite</t>
        </is>
      </c>
      <c r="D4" s="3" t="inlineStr">
        <is>
          <t>New people are emailed their password in plain text.</t>
        </is>
      </c>
      <c r="E4" s="3" t="inlineStr">
        <is>
          <t>Invite link that lets the person set their own password. No password ever in an email.</t>
        </is>
      </c>
      <c r="F4" s="3" t="inlineStr">
        <is>
          <t>Invite email; the person sets a password (12+ chars) or signs in with Google / Microsoft. Pending state shown until accepted.</t>
        </is>
      </c>
      <c r="G4" s="3" t="inlineStr">
        <is>
          <t>Add an invite token + set-password page; send the link instead of the password.</t>
        </is>
      </c>
      <c r="H4" s="3" t="inlineStr">
        <is>
          <t>API source + website</t>
        </is>
      </c>
      <c r="I4" s="4" t="inlineStr">
        <is>
          <t>Me, after your go-ahead</t>
        </is>
      </c>
      <c r="J4" s="3" t="inlineStr">
        <is>
          <t>Yes, after go-ahead</t>
        </is>
      </c>
      <c r="K4" s="6" t="inlineStr">
        <is>
          <t>P1</t>
        </is>
      </c>
    </row>
    <row r="5">
      <c r="A5" s="2" t="n">
        <v>4</v>
      </c>
      <c r="B5" s="3" t="inlineStr">
        <is>
          <t>Security</t>
        </is>
      </c>
      <c r="C5" s="3" t="inlineStr">
        <is>
          <t>People &gt; Invite</t>
        </is>
      </c>
      <c r="D5" s="3" t="inlineStr">
        <is>
          <t>The 'is this email taken?' check has no company filter, so any signed-in person can learn whether an email or phone exists on another tenant.</t>
        </is>
      </c>
      <c r="E5" s="3" t="inlineStr">
        <is>
          <t>Check only inside the caller's own company, or answer the same way for both cases.</t>
        </is>
      </c>
      <c r="F5" s="3" t="inlineStr">
        <is>
          <t>Not documented; standard practice is not to reveal other tenants' accounts.</t>
        </is>
      </c>
      <c r="G5" s="3" t="inlineStr">
        <is>
          <t>Add company_uuid to the validate query.</t>
        </is>
      </c>
      <c r="H5" s="3" t="inlineStr">
        <is>
          <t>API source</t>
        </is>
      </c>
      <c r="I5" s="4" t="inlineStr">
        <is>
          <t>Me, after your go-ahead</t>
        </is>
      </c>
      <c r="J5" s="3" t="inlineStr">
        <is>
          <t>Yes, after go-ahead</t>
        </is>
      </c>
      <c r="K5" s="6" t="inlineStr">
        <is>
          <t>P1</t>
        </is>
      </c>
    </row>
    <row r="6">
      <c r="A6" s="2" t="n">
        <v>5</v>
      </c>
      <c r="B6" s="3" t="inlineStr">
        <is>
          <t>Security</t>
        </is>
      </c>
      <c r="C6" s="3" t="inlineStr">
        <is>
          <t>Security &amp; Privacy</t>
        </is>
      </c>
      <c r="D6" s="3" t="inlineStr">
        <is>
          <t>No two-step sign-in control and no trusted-device list, although the backend already sends email codes and skips them for 30 days per trusted device.</t>
        </is>
      </c>
      <c r="E6" s="3" t="inlineStr">
        <is>
          <t>Show 'two-step sign-in' status, list trusted devices, let the person revoke one.</t>
        </is>
      </c>
      <c r="F6" s="3" t="inlineStr">
        <is>
          <t>MFA is mandatory for non-SSO users; Company Admin manages an exception list and can unlock a user. Person sees devices and can force-logout all.</t>
        </is>
      </c>
      <c r="G6" s="3" t="inlineStr">
        <is>
          <t>Add a trusted-devices list and revoke endpoint, then a card on the Security page.</t>
        </is>
      </c>
      <c r="H6" s="3" t="inlineStr">
        <is>
          <t>API source + website</t>
        </is>
      </c>
      <c r="I6" s="4" t="inlineStr">
        <is>
          <t>Me, after your go-ahead</t>
        </is>
      </c>
      <c r="J6" s="3" t="inlineStr">
        <is>
          <t>Yes, after go-ahead</t>
        </is>
      </c>
      <c r="K6" s="7" t="inlineStr">
        <is>
          <t>P2</t>
        </is>
      </c>
    </row>
    <row r="7">
      <c r="A7" s="2" t="n">
        <v>6</v>
      </c>
      <c r="B7" s="3" t="inlineStr">
        <is>
          <t>Security</t>
        </is>
      </c>
      <c r="C7" s="3" t="inlineStr">
        <is>
          <t>Security &amp; Privacy</t>
        </is>
      </c>
      <c r="D7" s="3" t="inlineStr">
        <is>
          <t>Copy says 'everything already signed in stays signed in' after a password change. The server signs out every device including this one. A password change also changes the SIP secret, which is not mentioned.</t>
        </is>
      </c>
      <c r="E7" s="3" t="inlineStr">
        <is>
          <t>Copy tells the truth: 'Changing your password signs you out everywhere and updates your phone login.'</t>
        </is>
      </c>
      <c r="F7" s="3" t="inlineStr">
        <is>
          <t>Password change requires the current password; SSO tenants change it in their suite.</t>
        </is>
      </c>
      <c r="G7" s="3" t="inlineStr">
        <is>
          <t>Fix the copy. Longer term: stop using the login-password hash as the SIP secret.</t>
        </is>
      </c>
      <c r="H7" s="3" t="inlineStr">
        <is>
          <t>Website (copy) / switch design (SIP secret)</t>
        </is>
      </c>
      <c r="I7" s="8" t="inlineStr">
        <is>
          <t>Me, now</t>
        </is>
      </c>
      <c r="J7" s="3" t="inlineStr">
        <is>
          <t>Yes (copy). SIP secret needs a decision</t>
        </is>
      </c>
      <c r="K7" s="7" t="inlineStr">
        <is>
          <t>P2</t>
        </is>
      </c>
    </row>
    <row r="8">
      <c r="A8" s="2" t="n">
        <v>7</v>
      </c>
      <c r="B8" s="3" t="inlineStr">
        <is>
          <t>Security</t>
        </is>
      </c>
      <c r="C8" s="3" t="inlineStr">
        <is>
          <t>Security &amp; Privacy</t>
        </is>
      </c>
      <c r="D8" s="3" t="inlineStr">
        <is>
          <t>Copy says 'to sign someone else out, an administrator does that from Users'. No such control exists on People.</t>
        </is>
      </c>
      <c r="E8" s="3" t="inlineStr">
        <is>
          <t>Either build the control on People or remove the line.</t>
        </is>
      </c>
      <c r="F8" s="3" t="inlineStr">
        <is>
          <t>Admins can force-logout a user's devices from the Enterprise Support portal.</t>
        </is>
      </c>
      <c r="G8" s="3" t="inlineStr">
        <is>
          <t>Remove the line now; add an admin 'sign out this person' action later.</t>
        </is>
      </c>
      <c r="H8" s="3" t="inlineStr">
        <is>
          <t>Website</t>
        </is>
      </c>
      <c r="I8" s="8" t="inlineStr">
        <is>
          <t>Me, now</t>
        </is>
      </c>
      <c r="J8" s="3" t="inlineStr">
        <is>
          <t>Yes</t>
        </is>
      </c>
      <c r="K8" s="9" t="inlineStr">
        <is>
          <t>P3</t>
        </is>
      </c>
    </row>
    <row r="9">
      <c r="A9" s="2" t="n">
        <v>8</v>
      </c>
      <c r="B9" s="3" t="inlineStr">
        <is>
          <t>My Account</t>
        </is>
      </c>
      <c r="C9" s="3" t="inlineStr">
        <is>
          <t>Profile</t>
        </is>
      </c>
      <c r="D9" s="3" t="inlineStr">
        <is>
          <t>A non-admin cannot save their own name or photo: the Submit button only renders with the People-admin edit permission.</t>
        </is>
      </c>
      <c r="E9" s="3" t="inlineStr">
        <is>
          <t>Everyone can edit their own name, title, photo. Only admins edit other people.</t>
        </is>
      </c>
      <c r="F9" s="3" t="inlineStr">
        <is>
          <t>All users can change their own name, job title, pronouns, picture and language. Only an Office Admin can change the email.</t>
        </is>
      </c>
      <c r="G9" s="3" t="inlineStr">
        <is>
          <t>Remove the permission check from Profile's Submit (self-edit is always allowed).</t>
        </is>
      </c>
      <c r="H9" s="3" t="inlineStr">
        <is>
          <t>Website</t>
        </is>
      </c>
      <c r="I9" s="8" t="inlineStr">
        <is>
          <t>Me, now</t>
        </is>
      </c>
      <c r="J9" s="3" t="inlineStr">
        <is>
          <t>Yes</t>
        </is>
      </c>
      <c r="K9" s="6" t="inlineStr">
        <is>
          <t>P1</t>
        </is>
      </c>
    </row>
    <row r="10">
      <c r="A10" s="2" t="n">
        <v>9</v>
      </c>
      <c r="B10" s="3" t="inlineStr">
        <is>
          <t>My Account</t>
        </is>
      </c>
      <c r="C10" s="3" t="inlineStr">
        <is>
          <t>Profile</t>
        </is>
      </c>
      <c r="D10" s="3" t="inlineStr">
        <is>
          <t>Any admin save from the person drawer wipes the person's photo (drawer never sends the photo field; server sets it to null).</t>
        </is>
      </c>
      <c r="E10" s="3" t="inlineStr">
        <is>
          <t>A save from the drawer leaves the photo alone.</t>
        </is>
      </c>
      <c r="F10" s="3" t="inlineStr">
        <is>
          <t>Admins cannot change a user's profile picture at all.</t>
        </is>
      </c>
      <c r="G10" s="3" t="inlineStr">
        <is>
          <t>Send 'profile' in the drawer payload. Long term: server treats missing fields as 'unchanged'.</t>
        </is>
      </c>
      <c r="H10" s="3" t="inlineStr">
        <is>
          <t>Website (now) / API source (proper fix)</t>
        </is>
      </c>
      <c r="I10" s="8" t="inlineStr">
        <is>
          <t>Me, now</t>
        </is>
      </c>
      <c r="J10" s="3" t="inlineStr">
        <is>
          <t>Yes (website part)</t>
        </is>
      </c>
      <c r="K10" s="6" t="inlineStr">
        <is>
          <t>P1</t>
        </is>
      </c>
    </row>
    <row r="11">
      <c r="A11" s="2" t="n">
        <v>10</v>
      </c>
      <c r="B11" s="3" t="inlineStr">
        <is>
          <t>My Account</t>
        </is>
      </c>
      <c r="C11" s="3" t="inlineStr">
        <is>
          <t>Profile</t>
        </is>
      </c>
      <c r="D11" s="3" t="inlineStr">
        <is>
          <t>Job title column is 30 characters; the field allows 80. A long title fails the whole save.</t>
        </is>
      </c>
      <c r="E11" s="3" t="inlineStr">
        <is>
          <t>Field limit matches the column, with a visible counter.</t>
        </is>
      </c>
      <c r="F11" s="3" t="inlineStr">
        <is>
          <t>Job title is free text, no documented limit.</t>
        </is>
      </c>
      <c r="G11" s="3" t="inlineStr">
        <is>
          <t>Set maxLength 30 on the field (or widen the column).</t>
        </is>
      </c>
      <c r="H11" s="3" t="inlineStr">
        <is>
          <t>Website</t>
        </is>
      </c>
      <c r="I11" s="8" t="inlineStr">
        <is>
          <t>Me, now</t>
        </is>
      </c>
      <c r="J11" s="3" t="inlineStr">
        <is>
          <t>Yes</t>
        </is>
      </c>
      <c r="K11" s="9" t="inlineStr">
        <is>
          <t>P3</t>
        </is>
      </c>
    </row>
    <row r="12">
      <c r="A12" s="2" t="n">
        <v>11</v>
      </c>
      <c r="B12" s="3" t="inlineStr">
        <is>
          <t>My Account</t>
        </is>
      </c>
      <c r="C12" s="3" t="inlineStr">
        <is>
          <t>Profile</t>
        </is>
      </c>
      <c r="D12" s="3" t="inlineStr">
        <is>
          <t>'How calls reach you' says voicemail is covered (it is not), shows the sign-up mobile as the direct number, and names a timezone that drives nothing.</t>
        </is>
      </c>
      <c r="E12" s="3" t="inlineStr">
        <is>
          <t>Panel shows only what is true: extension, real direct number(s), and the real no-answer behaviour.</t>
        </is>
      </c>
      <c r="F12" s="3" t="inlineStr">
        <is>
          <t>Profile lists the user's real Dialpad numbers and forwarding numbers; no coverage claims.</t>
        </is>
      </c>
      <c r="G12" s="3" t="inlineStr">
        <is>
          <t>Read the DID list for the number; mark voicemail 'not active yet'; drop the timezone line until it is used.</t>
        </is>
      </c>
      <c r="H12" s="3" t="inlineStr">
        <is>
          <t>Website</t>
        </is>
      </c>
      <c r="I12" s="8" t="inlineStr">
        <is>
          <t>Me, now</t>
        </is>
      </c>
      <c r="J12" s="3" t="inlineStr">
        <is>
          <t>Yes</t>
        </is>
      </c>
      <c r="K12" s="7" t="inlineStr">
        <is>
          <t>P2</t>
        </is>
      </c>
    </row>
    <row r="13">
      <c r="A13" s="2" t="n">
        <v>12</v>
      </c>
      <c r="B13" s="3" t="inlineStr">
        <is>
          <t>My Account</t>
        </is>
      </c>
      <c r="C13" s="3" t="inlineStr">
        <is>
          <t>Profile</t>
        </is>
      </c>
      <c r="D13" s="3" t="inlineStr">
        <is>
          <t>No pronouns, no interface language, no personal emergency address.</t>
        </is>
      </c>
      <c r="E13" s="3" t="inlineStr">
        <is>
          <t>Pronouns and language on Profile; a personal E911 working location per person.</t>
        </is>
      </c>
      <c r="F13" s="3" t="inlineStr">
        <is>
          <t>Pronouns and language are self-service. Personal working location: up to 10 saved addresses, office E911 is the default.</t>
        </is>
      </c>
      <c r="G13" s="3" t="inlineStr">
        <is>
          <t>Add the fields and the columns; E911 needs a carrier step, so plan it with the Numbers work.</t>
        </is>
      </c>
      <c r="H13" s="3" t="inlineStr">
        <is>
          <t>Website + API source</t>
        </is>
      </c>
      <c r="I13" s="4" t="inlineStr">
        <is>
          <t>Me, after your go-ahead</t>
        </is>
      </c>
      <c r="J13" s="3" t="inlineStr">
        <is>
          <t>Language and pronouns yes; E911 needs the carrier path</t>
        </is>
      </c>
      <c r="K13" s="9" t="inlineStr">
        <is>
          <t>P3</t>
        </is>
      </c>
    </row>
    <row r="14">
      <c r="A14" s="2" t="n">
        <v>13</v>
      </c>
      <c r="B14" s="3" t="inlineStr">
        <is>
          <t>My Account</t>
        </is>
      </c>
      <c r="C14" s="3" t="inlineStr">
        <is>
          <t>Preferences</t>
        </is>
      </c>
      <c r="D14" s="3" t="inlineStr">
        <is>
          <t>Heading says 'General' and points people to 'Phone System &gt; Preferences', which does not exist.</t>
        </is>
      </c>
      <c r="E14" s="3" t="inlineStr">
        <is>
          <t>Heading 'Preferences'. Pointer to Company &gt; Company Rules.</t>
        </is>
      </c>
      <c r="F14" s="3" t="inlineStr">
        <is>
          <t>'Your Settings' for durable settings; in-app 'Preferences' for status and notifications.</t>
        </is>
      </c>
      <c r="G14" s="3" t="inlineStr">
        <is>
          <t>Fix the two strings.</t>
        </is>
      </c>
      <c r="H14" s="3" t="inlineStr">
        <is>
          <t>Website</t>
        </is>
      </c>
      <c r="I14" s="8" t="inlineStr">
        <is>
          <t>Me, now</t>
        </is>
      </c>
      <c r="J14" s="3" t="inlineStr">
        <is>
          <t>Yes</t>
        </is>
      </c>
      <c r="K14" s="7" t="inlineStr">
        <is>
          <t>P2</t>
        </is>
      </c>
    </row>
    <row r="15">
      <c r="A15" s="2" t="n">
        <v>14</v>
      </c>
      <c r="B15" s="3" t="inlineStr">
        <is>
          <t>My Account</t>
        </is>
      </c>
      <c r="C15" s="3" t="inlineStr">
        <is>
          <t>Preferences</t>
        </is>
      </c>
      <c r="D15" s="3" t="inlineStr">
        <is>
          <t>Five of six cards (business hours, recording, transcription, AI monitoring, display number) save and are read by nothing. No badge says so.</t>
        </is>
      </c>
      <c r="E15" s="3" t="inlineStr">
        <is>
          <t>Each card shows 'Saved, not applied yet' until the router reads it. Same pattern as My Phone.</t>
        </is>
      </c>
      <c r="F15" s="3" t="inlineStr">
        <is>
          <t>A user's settings are live; anything the office locks is greyed out with the reason.</t>
        </is>
      </c>
      <c r="G15" s="3" t="inlineStr">
        <is>
          <t>Add the badge to the five cards (the shared editor already has the flag, it only renders for queues).</t>
        </is>
      </c>
      <c r="H15" s="3" t="inlineStr">
        <is>
          <t>Website</t>
        </is>
      </c>
      <c r="I15" s="8" t="inlineStr">
        <is>
          <t>Me, now</t>
        </is>
      </c>
      <c r="J15" s="3" t="inlineStr">
        <is>
          <t>Yes</t>
        </is>
      </c>
      <c r="K15" s="6" t="inlineStr">
        <is>
          <t>P1</t>
        </is>
      </c>
    </row>
    <row r="16">
      <c r="A16" s="2" t="n">
        <v>15</v>
      </c>
      <c r="B16" s="3" t="inlineStr">
        <is>
          <t>My Account</t>
        </is>
      </c>
      <c r="C16" s="3" t="inlineStr">
        <is>
          <t>Preferences</t>
        </is>
      </c>
      <c r="D16" s="3" t="inlineStr">
        <is>
          <t>Submit rewrites the whole settings column from a fixed list that lacks international_calling, so an admin's per-person international rule (the ONE key the router reads) is deleted on the first Submit.</t>
        </is>
      </c>
      <c r="E16" s="3" t="inlineStr">
        <is>
          <t>Submit changes only the fields on the page.</t>
        </is>
      </c>
      <c r="F16" s="3" t="inlineStr">
        <is>
          <t>Personal settings never overwrite admin-owned settings.</t>
        </is>
      </c>
      <c r="G16" s="3" t="inlineStr">
        <is>
          <t>Add international_calling to the hydration list now; long term merge on the server instead of replacing.</t>
        </is>
      </c>
      <c r="H16" s="3" t="inlineStr">
        <is>
          <t>Website (now) / API source (proper)</t>
        </is>
      </c>
      <c r="I16" s="8" t="inlineStr">
        <is>
          <t>Me, now</t>
        </is>
      </c>
      <c r="J16" s="3" t="inlineStr">
        <is>
          <t>Yes (website part)</t>
        </is>
      </c>
      <c r="K16" s="6" t="inlineStr">
        <is>
          <t>P1</t>
        </is>
      </c>
    </row>
    <row r="17">
      <c r="A17" s="2" t="n">
        <v>16</v>
      </c>
      <c r="B17" s="3" t="inlineStr">
        <is>
          <t>My Account</t>
        </is>
      </c>
      <c r="C17" s="3" t="inlineStr">
        <is>
          <t>Preferences</t>
        </is>
      </c>
      <c r="D17" s="3" t="inlineStr">
        <is>
          <t>Company lock is browser-only. And creating the Company Default row for any reason (saving a holiday) locks every card for every person until an admin turns each 'let people change this' on.</t>
        </is>
      </c>
      <c r="E17" s="3" t="inlineStr">
        <is>
          <t>Lock is checked on the server. Default is 'people may change it' unless the admin locks it.</t>
        </is>
      </c>
      <c r="F17" s="3" t="inlineStr">
        <is>
          <t>Three levers: a default value, an allow-list, and a User Settings Policy that greys the field. Unchecked = read-only. User &gt; Office &gt; Company.</t>
        </is>
      </c>
      <c r="G17" s="3" t="inlineStr">
        <is>
          <t>Flip the default to open; add a server check in update-user-setting that refuses locked fields.</t>
        </is>
      </c>
      <c r="H17" s="3" t="inlineStr">
        <is>
          <t>Website (default) + API source (server check)</t>
        </is>
      </c>
      <c r="I17" s="4" t="inlineStr">
        <is>
          <t>Me, after your go-ahead</t>
        </is>
      </c>
      <c r="J17" s="3" t="inlineStr">
        <is>
          <t>Default yes now; server check after go-ahead</t>
        </is>
      </c>
      <c r="K17" s="6" t="inlineStr">
        <is>
          <t>P1</t>
        </is>
      </c>
    </row>
    <row r="18">
      <c r="A18" s="2" t="n">
        <v>17</v>
      </c>
      <c r="B18" s="3" t="inlineStr">
        <is>
          <t>My Account</t>
        </is>
      </c>
      <c r="C18" s="3" t="inlineStr">
        <is>
          <t>Preferences</t>
        </is>
      </c>
      <c r="D18" s="3" t="inlineStr">
        <is>
          <t>A person's own business hours and holidays are never evaluated by the router. Only company hours and queue hours are.</t>
        </is>
      </c>
      <c r="E18" s="3" t="inlineStr">
        <is>
          <t>Decide first: personal hours apply to direct calls only (both references) or also to queue calls (neither). Then the router reads them.</t>
        </is>
      </c>
      <c r="F18" s="3" t="inlineStr">
        <is>
          <t>Personal Working Hours: up to 4 blocks a day in the person's own timezone; applies to direct calls, NOT to contact-centre calls.</t>
        </is>
      </c>
      <c r="G18" s="3" t="inlineStr">
        <is>
          <t>Product decision, then a dialplan patch that reads users.settings.operational_hours for EXTENSION routes, with offline tests.</t>
        </is>
      </c>
      <c r="H18" s="3" t="inlineStr">
        <is>
          <t>Product decision + switch</t>
        </is>
      </c>
      <c r="I18" s="10" t="inlineStr">
        <is>
          <t>You (decision)</t>
        </is>
      </c>
      <c r="J18" s="3" t="inlineStr">
        <is>
          <t>Decision first; then me after go-ahead</t>
        </is>
      </c>
      <c r="K18" s="6" t="inlineStr">
        <is>
          <t>P1</t>
        </is>
      </c>
    </row>
    <row r="19">
      <c r="A19" s="2" t="n">
        <v>18</v>
      </c>
      <c r="B19" s="3" t="inlineStr">
        <is>
          <t>My Account</t>
        </is>
      </c>
      <c r="C19" s="3" t="inlineStr">
        <is>
          <t>Preferences</t>
        </is>
      </c>
      <c r="D19" s="3" t="inlineStr">
        <is>
          <t>Recording can be configured on four screens (personal, Company Rules, Company Policies, Bulk settings). Only Company Rules is read.</t>
        </is>
      </c>
      <c r="E19" s="3" t="inlineStr">
        <is>
          <t>One company switch (opt-in per company, owner's rule) and, if allowed, one personal toggle inside it.</t>
        </is>
      </c>
      <c r="F19" s="3" t="inlineStr">
        <is>
          <t>Office admin enables recording per user or office-wide; the user can toggle 'if allowed by your Office Administrator'.</t>
        </is>
      </c>
      <c r="G19" s="3" t="inlineStr">
        <is>
          <t>Remove the duplicate controls; keep Company Rules as the source; badge the personal one until the router reads it.</t>
        </is>
      </c>
      <c r="H19" s="3" t="inlineStr">
        <is>
          <t>Website</t>
        </is>
      </c>
      <c r="I19" s="8" t="inlineStr">
        <is>
          <t>Me, now</t>
        </is>
      </c>
      <c r="J19" s="3" t="inlineStr">
        <is>
          <t>Yes</t>
        </is>
      </c>
      <c r="K19" s="7" t="inlineStr">
        <is>
          <t>P2</t>
        </is>
      </c>
    </row>
    <row r="20">
      <c r="A20" s="2" t="n">
        <v>19</v>
      </c>
      <c r="B20" s="3" t="inlineStr">
        <is>
          <t>My Account</t>
        </is>
      </c>
      <c r="C20" s="3" t="inlineStr">
        <is>
          <t>My Phone</t>
        </is>
      </c>
      <c r="D20" s="3" t="inlineStr">
        <is>
          <t>Honest 'Coming soon' banner, but it also covers Default Caller ID, which DOES work. '3 devices' counts categories, not real phones. 'Voicemail not saved yet' banner is false.</t>
        </is>
      </c>
      <c r="E20" s="3" t="inlineStr">
        <is>
          <t>Badge only the rules that are not applied. Show real registered devices. Remove the false voicemail line.</t>
        </is>
      </c>
      <c r="F20" s="3" t="inlineStr">
        <is>
          <t>Devices list shows real desk phones and forwarding numbers, each with its own ring toggle; forwarding numbers are verified by call-back.</t>
        </is>
      </c>
      <c r="G20" s="3" t="inlineStr">
        <is>
          <t>Split the banner; read registrations for the device list; delete the voicemail line.</t>
        </is>
      </c>
      <c r="H20" s="3" t="inlineStr">
        <is>
          <t>Website (badges) + API (registrations)</t>
        </is>
      </c>
      <c r="I20" s="8" t="inlineStr">
        <is>
          <t>Me, now</t>
        </is>
      </c>
      <c r="J20" s="3" t="inlineStr">
        <is>
          <t>Badges yes; device list after go-ahead</t>
        </is>
      </c>
      <c r="K20" s="7" t="inlineStr">
        <is>
          <t>P2</t>
        </is>
      </c>
    </row>
    <row r="21">
      <c r="A21" s="2" t="n">
        <v>20</v>
      </c>
      <c r="B21" s="3" t="inlineStr">
        <is>
          <t>My Account</t>
        </is>
      </c>
      <c r="C21" s="3" t="inlineStr">
        <is>
          <t>My Phone</t>
        </is>
      </c>
      <c r="D21" s="3" t="inlineStr">
        <is>
          <t>Submit also posts presence, which flips the person's queue rows to 'On Break' when status is not online. A phone-settings save changes queue state.</t>
        </is>
      </c>
      <c r="E21" s="3" t="inlineStr">
        <is>
          <t>Phone rules and presence are separate saves.</t>
        </is>
      </c>
      <c r="F21" s="3" t="inlineStr">
        <is>
          <t>Global DND is the user's own; queue duty status is a separate ladder controlled per contact centre.</t>
        </is>
      </c>
      <c r="G21" s="3" t="inlineStr">
        <is>
          <t>Stop sending 'status' from the My Phone submit.</t>
        </is>
      </c>
      <c r="H21" s="3" t="inlineStr">
        <is>
          <t>Website</t>
        </is>
      </c>
      <c r="I21" s="8" t="inlineStr">
        <is>
          <t>Me, now</t>
        </is>
      </c>
      <c r="J21" s="3" t="inlineStr">
        <is>
          <t>Yes</t>
        </is>
      </c>
      <c r="K21" s="6" t="inlineStr">
        <is>
          <t>P1</t>
        </is>
      </c>
    </row>
    <row r="22">
      <c r="A22" s="2" t="n">
        <v>21</v>
      </c>
      <c r="B22" s="3" t="inlineStr">
        <is>
          <t>My Account</t>
        </is>
      </c>
      <c r="C22" s="3" t="inlineStr">
        <is>
          <t>My Phone</t>
        </is>
      </c>
      <c r="D22" s="3" t="inlineStr">
        <is>
          <t>Forwarding, do-not-disturb, busy handling and no-answer rules are saved but the router never reads them (same as tracker P2).</t>
        </is>
      </c>
      <c r="E22" s="3" t="inlineStr">
        <is>
          <t>The router reads a person's call rules for calls to their extension.</t>
        </is>
      </c>
      <c r="F22" s="3" t="inlineStr">
        <is>
          <t>Ring duration, call handling when busy, advanced missed-call routing and DND all work per user; admin may set defaults and lock them.</t>
        </is>
      </c>
      <c r="G22" s="3" t="inlineStr">
        <is>
          <t>Dialplan patch on the EXTENSION route reading call_forwarding, with offline tests; then a two-phone test.</t>
        </is>
      </c>
      <c r="H22" s="3" t="inlineStr">
        <is>
          <t>Switch + a person to test</t>
        </is>
      </c>
      <c r="I22" s="4" t="inlineStr">
        <is>
          <t>Me, after your go-ahead</t>
        </is>
      </c>
      <c r="J22" s="3" t="inlineStr">
        <is>
          <t>Yes, after go-ahead, then a person tests</t>
        </is>
      </c>
      <c r="K22" s="6" t="inlineStr">
        <is>
          <t>P1</t>
        </is>
      </c>
    </row>
    <row r="23">
      <c r="A23" s="2" t="n">
        <v>22</v>
      </c>
      <c r="B23" s="3" t="inlineStr">
        <is>
          <t>My Account</t>
        </is>
      </c>
      <c r="C23" s="3" t="inlineStr">
        <is>
          <t>Notifications</t>
        </is>
      </c>
      <c r="D23" s="3" t="inlineStr">
        <is>
          <t>Banner is honest (stopped 24 Aug). Root cause: the page stores a nested object in one column, the only consumer reads a different column, and the notification service rejects the request.</t>
        </is>
      </c>
      <c r="E23" s="3" t="inlineStr">
        <is>
          <t>One column, one shape, one consumer. Then remove the banner.</t>
        </is>
      </c>
      <c r="F23" s="3" t="inlineStr">
        <is>
          <t>Per-user notifications for messages and voicemail; per-shared-line notifications configurable; office policy can lock them.</t>
        </is>
      </c>
      <c r="G23" s="3" t="inlineStr">
        <is>
          <t>Pick the column (notification_settings), flatten the shape, fix the consumer in tenant-api CallListRepository, test one voicemail email.</t>
        </is>
      </c>
      <c r="H23" s="3" t="inlineStr">
        <is>
          <t>API source (tenant-api + default-api)</t>
        </is>
      </c>
      <c r="I23" s="4" t="inlineStr">
        <is>
          <t>Me, after your go-ahead</t>
        </is>
      </c>
      <c r="J23" s="3" t="inlineStr">
        <is>
          <t>Yes, after go-ahead</t>
        </is>
      </c>
      <c r="K23" s="6" t="inlineStr">
        <is>
          <t>P1</t>
        </is>
      </c>
    </row>
    <row r="24">
      <c r="A24" s="2" t="n">
        <v>23</v>
      </c>
      <c r="B24" s="3" t="inlineStr">
        <is>
          <t>My Account</t>
        </is>
      </c>
      <c r="C24" s="3" t="inlineStr">
        <is>
          <t>Greetings</t>
        </is>
      </c>
      <c r="D24" s="3" t="inlineStr">
        <is>
          <t>Four toggles (welcome, hold, voicemail, ring tone) are saved and played by nothing. Keys are spelled three different ways. Copy claims a fallback that does not exist.</t>
        </is>
      </c>
      <c r="E24" s="3" t="inlineStr">
        <is>
          <t>Personal voicemail greeting plays on the person's voicemail. Copy says what is live.</t>
        </is>
      </c>
      <c r="F24" s="3" t="inlineStr">
        <is>
          <t>User records or uploads a voicemail greeting (MP3, 45 s max); office admin can set a default via bulk settings and lock it.</t>
        </is>
      </c>
      <c r="G24" s="3" t="inlineStr">
        <is>
          <t>Fix the copy and badge now. Then one key spelling, and the dialplan plays users.greetings.voicemail on the VOICEMAIL branch.</t>
        </is>
      </c>
      <c r="H24" s="3" t="inlineStr">
        <is>
          <t>Website (now) + switch (later)</t>
        </is>
      </c>
      <c r="I24" s="8" t="inlineStr">
        <is>
          <t>Me, now</t>
        </is>
      </c>
      <c r="J24" s="3" t="inlineStr">
        <is>
          <t>Copy yes; playback after go-ahead</t>
        </is>
      </c>
      <c r="K24" s="7" t="inlineStr">
        <is>
          <t>P2</t>
        </is>
      </c>
    </row>
    <row r="25">
      <c r="A25" s="2" t="n">
        <v>24</v>
      </c>
      <c r="B25" s="3" t="inlineStr">
        <is>
          <t>My Account</t>
        </is>
      </c>
      <c r="C25" s="3" t="inlineStr">
        <is>
          <t>Media Files</t>
        </is>
      </c>
      <c r="D25" s="3" t="inlineStr">
        <is>
          <t>The company-wide audio library (IVR prompts, queue audio) sits under My Account. Delete has no owner check. Every upload is filed as type 'greeting'.</t>
        </is>
      </c>
      <c r="E25" s="3" t="inlineStr">
        <is>
          <t>Library lives under Phone System next to IVR. My Account &gt; Greetings opens it filtered to the person's own files. Delete checks who owns the file.</t>
        </is>
      </c>
      <c r="F25" s="3" t="inlineStr">
        <is>
          <t>Company audio (IVR, hold music) is managed by office admins; a user manages only their own greeting.</t>
        </is>
      </c>
      <c r="G25" s="3" t="inlineStr">
        <is>
          <t>Move the sidebar entry; add a filter param; add an owner/type check on delete; store the chosen type on upload.</t>
        </is>
      </c>
      <c r="H25" s="3" t="inlineStr">
        <is>
          <t>Website (move + filter) + API source (delete check)</t>
        </is>
      </c>
      <c r="I25" s="8" t="inlineStr">
        <is>
          <t>Me, now</t>
        </is>
      </c>
      <c r="J25" s="3" t="inlineStr">
        <is>
          <t>Move yes; delete check after go-ahead</t>
        </is>
      </c>
      <c r="K25" s="7" t="inlineStr">
        <is>
          <t>P2</t>
        </is>
      </c>
    </row>
    <row r="26">
      <c r="A26" s="2" t="n">
        <v>25</v>
      </c>
      <c r="B26" s="3" t="inlineStr">
        <is>
          <t>People</t>
        </is>
      </c>
      <c r="C26" s="3" t="inlineStr">
        <is>
          <t>People list</t>
        </is>
      </c>
      <c r="D26" s="3" t="inlineStr">
        <is>
          <t>List capped at 500 rows; Export says 'everybody' past that. Role column shows raw strings (MANAGER) while Roles shows 'Account admin'.</t>
        </is>
      </c>
      <c r="E26" s="3" t="inlineStr">
        <is>
          <t>Paged list, honest export, one role vocabulary everywhere.</t>
        </is>
      </c>
      <c r="F26" s="3" t="inlineStr">
        <is>
          <t>User list shows name, email, numbers, licence, extension, admin flags, state; CSV export of all users.</t>
        </is>
      </c>
      <c r="G26" s="3" t="inlineStr">
        <is>
          <t>Page the list; use roleDisplayName on the People column (or drop the display names, see Roles row).</t>
        </is>
      </c>
      <c r="H26" s="3" t="inlineStr">
        <is>
          <t>Website</t>
        </is>
      </c>
      <c r="I26" s="8" t="inlineStr">
        <is>
          <t>Me, now</t>
        </is>
      </c>
      <c r="J26" s="3" t="inlineStr">
        <is>
          <t>Yes</t>
        </is>
      </c>
      <c r="K26" s="7" t="inlineStr">
        <is>
          <t>P2</t>
        </is>
      </c>
    </row>
    <row r="27">
      <c r="A27" s="2" t="n">
        <v>26</v>
      </c>
      <c r="B27" s="3" t="inlineStr">
        <is>
          <t>People</t>
        </is>
      </c>
      <c r="C27" s="3" t="inlineStr">
        <is>
          <t>People list</t>
        </is>
      </c>
      <c r="D27" s="3" t="inlineStr">
        <is>
          <t>Edit and Change role need the admin flag even when the role holds the edit permission; Remove honours the permission WITHOUT the admin flag. A 'People admin' can delete a colleague but not rename them.</t>
        </is>
      </c>
      <c r="E27" s="3" t="inlineStr">
        <is>
          <t>All three actions follow the same permission.</t>
        </is>
      </c>
      <c r="F27" s="3" t="inlineStr">
        <is>
          <t>User Manager role: edits identity and assigns numbers; cannot buy licences.</t>
        </is>
      </c>
      <c r="G27" s="3" t="inlineStr">
        <is>
          <t>Use userAccess.edit for Edit and Change role; keep Remove on userAccess.delete.</t>
        </is>
      </c>
      <c r="H27" s="3" t="inlineStr">
        <is>
          <t>Website</t>
        </is>
      </c>
      <c r="I27" s="8" t="inlineStr">
        <is>
          <t>Me, now</t>
        </is>
      </c>
      <c r="J27" s="3" t="inlineStr">
        <is>
          <t>Yes</t>
        </is>
      </c>
      <c r="K27" s="7" t="inlineStr">
        <is>
          <t>P2</t>
        </is>
      </c>
    </row>
    <row r="28">
      <c r="A28" s="2" t="n">
        <v>27</v>
      </c>
      <c r="B28" s="3" t="inlineStr">
        <is>
          <t>People</t>
        </is>
      </c>
      <c r="C28" s="3" t="inlineStr">
        <is>
          <t>People states</t>
        </is>
      </c>
      <c r="D28" s="3" t="inlineStr">
        <is>
          <t>'Invited' and 'disabled' do not exist. Every person is ACTIVE from creation. If set inactive, login stops but the phone still registers and rings.</t>
        </is>
      </c>
      <c r="E28" s="3" t="inlineStr">
        <is>
          <t>Pending (invite not accepted), Active, Suspended (blocks login AND registration), Removed.</t>
        </is>
      </c>
      <c r="F28" s="3" t="inlineStr">
        <is>
          <t>Active / Pending tabs; Deleted Users kept 72 h and restorable; the switch respects state.</t>
        </is>
      </c>
      <c r="G28" s="3" t="inlineStr">
        <is>
          <t>Add status writes on invite/suspend; make sip-user-data-api and the directory read status and deleted_at.</t>
        </is>
      </c>
      <c r="H28" s="3" t="inlineStr">
        <is>
          <t>API source + switch services</t>
        </is>
      </c>
      <c r="I28" s="4" t="inlineStr">
        <is>
          <t>Me, after your go-ahead</t>
        </is>
      </c>
      <c r="J28" s="3" t="inlineStr">
        <is>
          <t>Yes, after go-ahead</t>
        </is>
      </c>
      <c r="K28" s="6" t="inlineStr">
        <is>
          <t>P1</t>
        </is>
      </c>
    </row>
    <row r="29">
      <c r="A29" s="2" t="n">
        <v>28</v>
      </c>
      <c r="B29" s="3" t="inlineStr">
        <is>
          <t>People</t>
        </is>
      </c>
      <c r="C29" s="3" t="inlineStr">
        <is>
          <t>Remove person</t>
        </is>
      </c>
      <c r="D29" s="3" t="inlineStr">
        <is>
          <t>Soft delete works, but any number that forwarded to the person loses ALL its routing, colleagues' forwards are repointed at the deleting admin, the email stays reserved, and there is no list or restore.</t>
        </is>
      </c>
      <c r="E29" s="3" t="inlineStr">
        <is>
          <t>Remove only the one target from routing. Never repoint at the admin. Removed-people list with restore for 72 h. Email reusable after purge.</t>
        </is>
      </c>
      <c r="F29" s="3" t="inlineStr">
        <is>
          <t>Deleted users restorable for 72 hours; number parked in a reserved pool; licence kept or released as a separate choice; analytics kept as '(deleted)'.</t>
        </is>
      </c>
      <c r="G29" s="3" t="inlineStr">
        <is>
          <t>Fix the two fan-out blocks in UserController.delete; add list-deleted and restore endpoints; add a Removed tab.</t>
        </is>
      </c>
      <c r="H29" s="3" t="inlineStr">
        <is>
          <t>API source + website</t>
        </is>
      </c>
      <c r="I29" s="4" t="inlineStr">
        <is>
          <t>Me, after your go-ahead</t>
        </is>
      </c>
      <c r="J29" s="3" t="inlineStr">
        <is>
          <t>Yes, after go-ahead</t>
        </is>
      </c>
      <c r="K29" s="6" t="inlineStr">
        <is>
          <t>P1</t>
        </is>
      </c>
    </row>
    <row r="30">
      <c r="A30" s="2" t="n">
        <v>29</v>
      </c>
      <c r="B30" s="3" t="inlineStr">
        <is>
          <t>People</t>
        </is>
      </c>
      <c r="C30" s="3" t="inlineStr">
        <is>
          <t>Person drawer</t>
        </is>
      </c>
      <c r="D30" s="3" t="inlineStr">
        <is>
          <t>Transcription and AI-monitoring toggles reopen OFF after any save.</t>
        </is>
      </c>
      <c r="E30" s="3" t="inlineStr">
        <is>
          <t>Toggles round-trip.</t>
        </is>
      </c>
      <c r="F30" s="3" t="inlineStr">
        <is>
          <t>n/a</t>
        </is>
      </c>
      <c r="G30" s="3" t="inlineStr">
        <is>
          <t>Read the two fields as plain booleans instead of through the rule-flag reader.</t>
        </is>
      </c>
      <c r="H30" s="3" t="inlineStr">
        <is>
          <t>Website</t>
        </is>
      </c>
      <c r="I30" s="8" t="inlineStr">
        <is>
          <t>Me, now</t>
        </is>
      </c>
      <c r="J30" s="3" t="inlineStr">
        <is>
          <t>Yes</t>
        </is>
      </c>
      <c r="K30" s="7" t="inlineStr">
        <is>
          <t>P2</t>
        </is>
      </c>
    </row>
    <row r="31">
      <c r="A31" s="2" t="n">
        <v>30</v>
      </c>
      <c r="B31" s="3" t="inlineStr">
        <is>
          <t>People</t>
        </is>
      </c>
      <c r="C31" s="3" t="inlineStr">
        <is>
          <t>Person drawer / company defaults</t>
        </is>
      </c>
      <c r="D31" s="3" t="inlineStr">
        <is>
          <t>The server never reads the Company Default when it creates a person; defaults reach a person only when an admin first opens the drawer.</t>
        </is>
      </c>
      <c r="E31" s="3" t="inlineStr">
        <is>
          <t>New people get the company defaults on creation.</t>
        </is>
      </c>
      <c r="F31" s="3" t="inlineStr">
        <is>
          <t>Bulk user settings write a value to every user under a Company / Office / Group key; office E911 and language are defaults for all members.</t>
        </is>
      </c>
      <c r="G31" s="3" t="inlineStr">
        <is>
          <t>Read the Company Default row inside addMember and seed settings from it.</t>
        </is>
      </c>
      <c r="H31" s="3" t="inlineStr">
        <is>
          <t>API source</t>
        </is>
      </c>
      <c r="I31" s="4" t="inlineStr">
        <is>
          <t>Me, after your go-ahead</t>
        </is>
      </c>
      <c r="J31" s="3" t="inlineStr">
        <is>
          <t>Yes, after go-ahead</t>
        </is>
      </c>
      <c r="K31" s="7" t="inlineStr">
        <is>
          <t>P2</t>
        </is>
      </c>
    </row>
    <row r="32">
      <c r="A32" s="2" t="n">
        <v>31</v>
      </c>
      <c r="B32" s="3" t="inlineStr">
        <is>
          <t>Roles</t>
        </is>
      </c>
      <c r="C32" s="3" t="inlineStr">
        <is>
          <t>Roles list / dialogs</t>
        </is>
      </c>
      <c r="D32" s="3" t="inlineStr">
        <is>
          <t>Four vocabularies for the same roles across adjacent screens. AGENT is shown as 'Call reviewer' (a QA role). The owner role is hidden from the list.</t>
        </is>
      </c>
      <c r="E32" s="3" t="inlineStr">
        <is>
          <t>One vocabulary everywhere. AGENT is the person who answers queue calls. Owner role visible.</t>
        </is>
      </c>
      <c r="F32" s="3" t="inlineStr">
        <is>
          <t>Company Admin &gt; Regional &gt; Office &gt; Department / Contact Center Admin &gt; CC Supervisor &gt; Coach; Agent is a standing inside a contact centre, not a QA role.</t>
        </is>
      </c>
      <c r="G32" s="3" t="inlineStr">
        <is>
          <t>Decide the names (proposed: Account owner, Location admin, Group admin, Supervisor, Agent), then one display map used by every screen; show ADMIN in the list.</t>
        </is>
      </c>
      <c r="H32" s="3" t="inlineStr">
        <is>
          <t>Product decision + website</t>
        </is>
      </c>
      <c r="I32" s="10" t="inlineStr">
        <is>
          <t>You (decision)</t>
        </is>
      </c>
      <c r="J32" s="3" t="inlineStr">
        <is>
          <t>Decision first; then me</t>
        </is>
      </c>
      <c r="K32" s="6" t="inlineStr">
        <is>
          <t>P1</t>
        </is>
      </c>
    </row>
    <row r="33">
      <c r="A33" s="2" t="n">
        <v>32</v>
      </c>
      <c r="B33" s="3" t="inlineStr">
        <is>
          <t>Roles</t>
        </is>
      </c>
      <c r="C33" s="3" t="inlineStr">
        <is>
          <t>New role / permission tree</t>
        </is>
      </c>
      <c r="D33" s="3" t="inlineStr">
        <is>
          <t>The permission tree an admin builds is read by the browser only. No server route checks it.</t>
        </is>
      </c>
      <c r="E33" s="3" t="inlineStr">
        <is>
          <t>Server checks a permission per route (self vs other as two permissions).</t>
        </is>
      </c>
      <c r="F33" s="3" t="inlineStr">
        <is>
          <t>Genesys: ~1,430 permission strings checked per (subject, division, role). Dialpad: fixed admin types checked server-side.</t>
        </is>
      </c>
      <c r="G33" s="3" t="inlineStr">
        <is>
          <t>Add permission middleware keyed on role_uuid + the tree; start with people, roles, company template, recordings.</t>
        </is>
      </c>
      <c r="H33" s="3" t="inlineStr">
        <is>
          <t>API source</t>
        </is>
      </c>
      <c r="I33" s="4" t="inlineStr">
        <is>
          <t>Me, after your go-ahead</t>
        </is>
      </c>
      <c r="J33" s="3" t="inlineStr">
        <is>
          <t>Yes, after go-ahead (large)</t>
        </is>
      </c>
      <c r="K33" s="6" t="inlineStr">
        <is>
          <t>P1</t>
        </is>
      </c>
    </row>
    <row r="34">
      <c r="A34" s="2" t="n">
        <v>33</v>
      </c>
      <c r="B34" s="3" t="inlineStr">
        <is>
          <t>Roles</t>
        </is>
      </c>
      <c r="C34" s="3" t="inlineStr">
        <is>
          <t>Admin scope</t>
        </is>
      </c>
      <c r="D34" s="3" t="inlineStr">
        <is>
          <t>Saves a shape nothing reads (screen says so; hidden from sidebar).</t>
        </is>
      </c>
      <c r="E34" s="3" t="inlineStr">
        <is>
          <t>Scope is a property of the grant: 'Supervisor, in Delhi'. Enforced with the permission middleware.</t>
        </is>
      </c>
      <c r="F34" s="3" t="inlineStr">
        <is>
          <t>Admin role granted at Company / Regional / Office scope; Genesys grants per division.</t>
        </is>
      </c>
      <c r="G34" s="3" t="inlineStr">
        <is>
          <t>Build after the permission middleware; keep the screen hidden until then.</t>
        </is>
      </c>
      <c r="H34" s="3" t="inlineStr">
        <is>
          <t>API source + website</t>
        </is>
      </c>
      <c r="I34" s="4" t="inlineStr">
        <is>
          <t>Me, after your go-ahead</t>
        </is>
      </c>
      <c r="J34" s="3" t="inlineStr">
        <is>
          <t>Later</t>
        </is>
      </c>
      <c r="K34" s="9" t="inlineStr">
        <is>
          <t>P3</t>
        </is>
      </c>
    </row>
    <row r="35">
      <c r="A35" s="2" t="n">
        <v>34</v>
      </c>
      <c r="B35" s="3" t="inlineStr">
        <is>
          <t>Roles</t>
        </is>
      </c>
      <c r="C35" s="3" t="inlineStr">
        <is>
          <t>Access-control tour</t>
        </is>
      </c>
      <c r="D35" s="3" t="inlineStr">
        <is>
          <t>Four-step tour dead-ends at step 2; steps 1, 3 and the matrix are not in the sidebar.</t>
        </is>
      </c>
      <c r="E35" s="3" t="inlineStr">
        <is>
          <t>Either a working tour or fold the explainers into the Roles page.</t>
        </is>
      </c>
      <c r="F35" s="3" t="inlineStr">
        <is>
          <t>n/a</t>
        </is>
      </c>
      <c r="G35" s="3" t="inlineStr">
        <is>
          <t>Render the step strip on Roles or remove the tour.</t>
        </is>
      </c>
      <c r="H35" s="3" t="inlineStr">
        <is>
          <t>Website</t>
        </is>
      </c>
      <c r="I35" s="8" t="inlineStr">
        <is>
          <t>Me, now</t>
        </is>
      </c>
      <c r="J35" s="3" t="inlineStr">
        <is>
          <t>Yes</t>
        </is>
      </c>
      <c r="K35" s="9" t="inlineStr">
        <is>
          <t>P3</t>
        </is>
      </c>
    </row>
    <row r="36">
      <c r="A36" s="2" t="n">
        <v>35</v>
      </c>
      <c r="B36" s="3" t="inlineStr">
        <is>
          <t>Company link</t>
        </is>
      </c>
      <c r="C36" s="3" t="inlineStr">
        <is>
          <t>Company Rules</t>
        </is>
      </c>
      <c r="D36" s="3" t="inlineStr">
        <is>
          <t>'apply' and 'locked' flags exist only in the reader; no screen writes them. 'Everyone gets it and nobody may change it' is still unsayable. Scope is company-only.</t>
        </is>
      </c>
      <c r="E36" s="3" t="inlineStr">
        <is>
          <t>Two switches per rule (apply, lock) written by Company Rules; later per-location and per-person policies with inward precedence.</t>
        </is>
      </c>
      <c r="F36" s="3" t="inlineStr">
        <is>
          <t>Default (bulk) -&gt; allow (office toggle) -&gt; lock (policy). User &gt; Office &gt; Company.</t>
        </is>
      </c>
      <c r="G36" s="3" t="inlineStr">
        <is>
          <t>Wire writeRuleFlags into the Company Rules form (two switches per row); then location / person scopes.</t>
        </is>
      </c>
      <c r="H36" s="3" t="inlineStr">
        <is>
          <t>Website (flags) + API source (scopes)</t>
        </is>
      </c>
      <c r="I36" s="8" t="inlineStr">
        <is>
          <t>Me, now</t>
        </is>
      </c>
      <c r="J36" s="3" t="inlineStr">
        <is>
          <t>Flags yes; scopes after go-ahead</t>
        </is>
      </c>
      <c r="K36" s="7" t="inlineStr">
        <is>
          <t>P2</t>
        </is>
      </c>
    </row>
    <row r="37">
      <c r="A37" s="2" t="n">
        <v>36</v>
      </c>
      <c r="B37" s="3" t="inlineStr">
        <is>
          <t>Vocabulary</t>
        </is>
      </c>
      <c r="C37" s="3" t="inlineStr">
        <is>
          <t>Several screens</t>
        </is>
      </c>
      <c r="D37" s="3" t="inlineStr">
        <is>
          <t>'Site', 'Department', 'User', 'Member', 'Extension' (for a human) still appear in labels: Profile Workplace card, Invite errors, drawer, departments pages, Admin scope, People empty state ('No Department Found').</t>
        </is>
      </c>
      <c r="E37" s="3" t="inlineStr">
        <is>
          <t>Location, Group, Person, Extension (the number only), per NAMING.md.</t>
        </is>
      </c>
      <c r="F37" s="3" t="inlineStr">
        <is>
          <t>Office, Department, User in Dialpad; we map Office -&gt; Location, Department -&gt; Group, User -&gt; Person.</t>
        </is>
      </c>
      <c r="G37" s="3" t="inlineStr">
        <is>
          <t>String sweep, one concept per deploy, diff the UI strings before rsync.</t>
        </is>
      </c>
      <c r="H37" s="3" t="inlineStr">
        <is>
          <t>Website</t>
        </is>
      </c>
      <c r="I37" s="8" t="inlineStr">
        <is>
          <t>Me, now</t>
        </is>
      </c>
      <c r="J37" s="3" t="inlineStr">
        <is>
          <t>Yes</t>
        </is>
      </c>
      <c r="K37" s="9" t="inlineStr">
        <is>
          <t>P3</t>
        </is>
      </c>
    </row>
    <row r="38">
      <c r="A38" s="2" t="n">
        <v>37</v>
      </c>
      <c r="B38" s="3" t="inlineStr">
        <is>
          <t>Verification</t>
        </is>
      </c>
      <c r="C38" s="3" t="inlineStr">
        <is>
          <t>Hours, holidays, ring time, call rules</t>
        </is>
      </c>
      <c r="D38" s="3" t="inlineStr">
        <is>
          <t>Every switch change above is proven offline and by reading the running build; no real call has been through them.</t>
        </is>
      </c>
      <c r="E38" s="3" t="inlineStr">
        <is>
          <t>Each fix confirmed with a real call and a control call.</t>
        </is>
      </c>
      <c r="F38" s="3" t="inlineStr">
        <is>
          <t>n/a</t>
        </is>
      </c>
      <c r="G38" s="3" t="inlineStr">
        <is>
          <t>Two phones: one call inside hours, one outside, one to a person with a rule set, one to a person without.</t>
        </is>
      </c>
      <c r="H38" s="3" t="inlineStr">
        <is>
          <t>Live test</t>
        </is>
      </c>
      <c r="I38" s="11" t="inlineStr">
        <is>
          <t>A person with two phones</t>
        </is>
      </c>
      <c r="J38" s="3" t="inlineStr">
        <is>
          <t>No, needs a person</t>
        </is>
      </c>
      <c r="K38" s="6" t="inlineStr">
        <is>
          <t>P1</t>
        </is>
      </c>
    </row>
  </sheetData>
  <autoFilter ref="A1:K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6" customWidth="1" min="1" max="1"/>
    <col width="80" customWidth="1" min="2" max="2"/>
    <col width="8" customWidth="1" min="3" max="3"/>
  </cols>
  <sheetData>
    <row r="1">
      <c r="A1" s="12" t="inlineStr">
        <is>
          <t>Who can do it</t>
        </is>
      </c>
      <c r="B1" s="12" t="inlineStr">
        <is>
          <t>Meaning</t>
        </is>
      </c>
      <c r="C1" s="12" t="inlineStr">
        <is>
          <t>Rows</t>
        </is>
      </c>
    </row>
    <row r="2">
      <c r="A2" s="13" t="inlineStr">
        <is>
          <t>Me, now</t>
        </is>
      </c>
      <c r="B2" s="14" t="inlineStr">
        <is>
          <t>I can build and ship it on the website now. No approval needed (your standing rule).</t>
        </is>
      </c>
      <c r="C2" s="14">
        <f>COUNTIF('Audit sheet'!$I$2:$I$38,A2)</f>
        <v/>
      </c>
    </row>
    <row r="3">
      <c r="A3" s="15" t="inlineStr">
        <is>
          <t>Me, after your go-ahead</t>
        </is>
      </c>
      <c r="B3" s="14" t="inlineStr">
        <is>
          <t>I can build it. Deploying to the API or the switch needs your go-ahead (permission rule).</t>
        </is>
      </c>
      <c r="C3" s="14">
        <f>COUNTIF('Audit sheet'!$I$2:$I$38,A3)</f>
        <v/>
      </c>
    </row>
    <row r="4">
      <c r="A4" s="16" t="inlineStr">
        <is>
          <t>You (decision)</t>
        </is>
      </c>
      <c r="B4" s="14" t="inlineStr">
        <is>
          <t>A product decision only you can make. Nothing is built until it is made.</t>
        </is>
      </c>
      <c r="C4" s="14">
        <f>COUNTIF('Audit sheet'!$I$2:$I$38,A4)</f>
        <v/>
      </c>
    </row>
    <row r="5">
      <c r="A5" s="17" t="inlineStr">
        <is>
          <t>A person with two phones</t>
        </is>
      </c>
      <c r="B5" s="14" t="inlineStr">
        <is>
          <t>A live test with real phones. I cannot do this.</t>
        </is>
      </c>
      <c r="C5" s="14">
        <f>COUNTIF('Audit sheet'!$I$2:$I$38,A5)</f>
        <v/>
      </c>
    </row>
    <row r="6">
      <c r="A6" s="14" t="n"/>
      <c r="B6" s="14" t="n"/>
      <c r="C6" s="14" t="n"/>
    </row>
    <row r="7">
      <c r="A7" s="14" t="n"/>
      <c r="B7" s="14" t="n"/>
      <c r="C7" s="14" t="n"/>
    </row>
    <row r="8">
      <c r="A8" s="12" t="inlineStr">
        <is>
          <t>Priority</t>
        </is>
      </c>
      <c r="B8" s="12" t="inlineStr">
        <is>
          <t>Meaning</t>
        </is>
      </c>
      <c r="C8" s="12" t="inlineStr">
        <is>
          <t>Rows</t>
        </is>
      </c>
    </row>
    <row r="9">
      <c r="A9" s="18" t="inlineStr">
        <is>
          <t>P0</t>
        </is>
      </c>
      <c r="B9" s="14" t="inlineStr">
        <is>
          <t>Security hole open now. Fix first.</t>
        </is>
      </c>
      <c r="C9" s="14">
        <f>COUNTIF('Audit sheet'!$K$2:$K$38,A9)</f>
        <v/>
      </c>
    </row>
    <row r="10">
      <c r="A10" s="19" t="inlineStr">
        <is>
          <t>P1</t>
        </is>
      </c>
      <c r="B10" s="14" t="inlineStr">
        <is>
          <t>Wrong result or a promise the product breaks. This month.</t>
        </is>
      </c>
      <c r="C10" s="14">
        <f>COUNTIF('Audit sheet'!$K$2:$K$38,A10)</f>
        <v/>
      </c>
    </row>
    <row r="11">
      <c r="A11" s="20" t="inlineStr">
        <is>
          <t>P2</t>
        </is>
      </c>
      <c r="B11" s="14" t="inlineStr">
        <is>
          <t>Misleading or duplicated. Next.</t>
        </is>
      </c>
      <c r="C11" s="14">
        <f>COUNTIF('Audit sheet'!$K$2:$K$38,A11)</f>
        <v/>
      </c>
    </row>
    <row r="12">
      <c r="A12" s="21" t="inlineStr">
        <is>
          <t>P3</t>
        </is>
      </c>
      <c r="B12" s="14" t="inlineStr">
        <is>
          <t>Tidy-up.</t>
        </is>
      </c>
      <c r="C12" s="14">
        <f>COUNTIF('Audit sheet'!$K$2:$K$38,A12)</f>
        <v/>
      </c>
    </row>
    <row r="13">
      <c r="A13" s="14" t="n"/>
      <c r="B13" s="14" t="n"/>
      <c r="C13" s="14" t="n"/>
    </row>
    <row r="14">
      <c r="A14" s="14" t="inlineStr">
        <is>
          <t>Total rows</t>
        </is>
      </c>
      <c r="B14" s="14" t="n"/>
      <c r="C14" s="14">
        <f>COUNTA('Audit sheet'!$A$2:$A$38)</f>
        <v/>
      </c>
    </row>
    <row r="15">
      <c r="A15" s="14" t="n"/>
      <c r="B15" s="14" t="n"/>
      <c r="C15" s="14" t="n"/>
    </row>
    <row r="16">
      <c r="A16" s="14" t="inlineStr">
        <is>
          <t>Sources</t>
        </is>
      </c>
      <c r="B16" s="14" t="n"/>
      <c r="C16" s="14" t="n"/>
    </row>
    <row r="17">
      <c r="A17" s="14" t="inlineStr">
        <is>
          <t>Today / how to fix: docs/my-account-people-roles-audit-2026-09-03.md and the three appendices in docs/audit-2026-09-03/ (file:line for every claim).</t>
        </is>
      </c>
      <c r="B17" s="14" t="n"/>
      <c r="C17" s="14" t="n"/>
    </row>
    <row r="18">
      <c r="A18" s="14" t="inlineStr">
        <is>
          <t>Dialpad column: help.dialpad.com articles mirrored at /root/dialpad-kb, cited per claim in appendix C. Genesys named where used. Internal sheet only; never write these names into the product.</t>
        </is>
      </c>
      <c r="B18" s="14" t="n"/>
      <c r="C18" s="14" t="n"/>
    </row>
    <row r="19">
      <c r="A19" s="14" t="inlineStr">
        <is>
          <t>Checked 3 Sep 2026 against the running API build, the production database (read-only) and the live call router.</t>
        </is>
      </c>
      <c r="B19" s="14" t="n"/>
      <c r="C19" s="1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2026-09-03T06:41:15Z</dcterms:created>
  <dcterms:modified xmlns:dcterms="http://purl.org/dc/terms/" xmlns:xsi="http://www.w3.org/2001/XMLSchema-instance" xsi:type="dcterms:W3CDTF">2026-09-03T06:41:15Z</dcterms:modified>
</cp:coreProperties>
</file>